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teod\OneDrive\Desktop\proiect sondaje\"/>
    </mc:Choice>
  </mc:AlternateContent>
  <xr:revisionPtr revIDLastSave="0" documentId="13_ncr:1_{C9C99959-C6BC-4260-A088-712FDCF0C315}" xr6:coauthVersionLast="47" xr6:coauthVersionMax="47" xr10:uidLastSave="{00000000-0000-0000-0000-000000000000}"/>
  <bookViews>
    <workbookView xWindow="38280" yWindow="4050" windowWidth="29040" windowHeight="15990" activeTab="5" xr2:uid="{00000000-000D-0000-FFFF-FFFF00000000}"/>
  </bookViews>
  <sheets>
    <sheet name="DB" sheetId="2" r:id="rId1"/>
    <sheet name="Nr Intervievati" sheetId="3" r:id="rId2"/>
    <sheet name="Parametrii" sheetId="4" r:id="rId3"/>
    <sheet name="Formule" sheetId="6" r:id="rId4"/>
    <sheet name="SPSS &amp; Sectii" sheetId="5" r:id="rId5"/>
    <sheet name="Esantion" sheetId="7" r:id="rId6"/>
    <sheet name="Sectie Votare" sheetId="9" r:id="rId7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3" l="1"/>
  <c r="F8" i="3"/>
  <c r="D90" i="2"/>
  <c r="C90" i="2"/>
  <c r="D7" i="3"/>
  <c r="D6" i="3"/>
  <c r="D5" i="3"/>
  <c r="D4" i="3"/>
  <c r="D3" i="3"/>
  <c r="E3" i="2"/>
  <c r="C5" i="3" s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C4" i="3" l="1"/>
  <c r="E7" i="3"/>
  <c r="C6" i="3"/>
  <c r="C3" i="3"/>
  <c r="C7" i="3"/>
  <c r="E3" i="3" l="1"/>
  <c r="E5" i="3"/>
  <c r="E4" i="3"/>
  <c r="E6" i="3"/>
  <c r="C7" i="4"/>
  <c r="C8" i="4" s="1"/>
  <c r="G7" i="3" s="1"/>
  <c r="H7" i="3" s="1"/>
  <c r="I7" i="3" s="1"/>
  <c r="E8" i="3"/>
  <c r="C8" i="3"/>
  <c r="G6" i="3" l="1"/>
  <c r="H6" i="3" s="1"/>
  <c r="I6" i="3" s="1"/>
  <c r="G4" i="3"/>
  <c r="H4" i="3" s="1"/>
  <c r="I4" i="3" s="1"/>
  <c r="G5" i="3"/>
  <c r="H5" i="3" s="1"/>
  <c r="I5" i="3" s="1"/>
  <c r="G3" i="3"/>
  <c r="H3" i="3" s="1"/>
  <c r="I3" i="3" s="1"/>
  <c r="I8" i="3" l="1"/>
</calcChain>
</file>

<file path=xl/sharedStrings.xml><?xml version="1.0" encoding="utf-8"?>
<sst xmlns="http://schemas.openxmlformats.org/spreadsheetml/2006/main" count="268" uniqueCount="155">
  <si>
    <t>Denumire localitate</t>
  </si>
  <si>
    <t>Populația rezidentă - municipii, orașe și comune</t>
  </si>
  <si>
    <t>MUNICIPIUL BUZĂU</t>
  </si>
  <si>
    <t>MUNICIPIUL RÂMNICU SĂRAT</t>
  </si>
  <si>
    <t>ORAȘ NEHOIU</t>
  </si>
  <si>
    <t>ORAȘ PĂTÂRLAGELE</t>
  </si>
  <si>
    <t>ORAȘ POGOANELE</t>
  </si>
  <si>
    <t>AMARU</t>
  </si>
  <si>
    <t>BĂLĂCEANU</t>
  </si>
  <si>
    <t>BALTA ALBĂ</t>
  </si>
  <si>
    <t>BECENI</t>
  </si>
  <si>
    <t>BERCA</t>
  </si>
  <si>
    <t>BISOCA</t>
  </si>
  <si>
    <t>BLĂJANI</t>
  </si>
  <si>
    <t>BOLDU</t>
  </si>
  <si>
    <t>BOZIORU</t>
  </si>
  <si>
    <t>BRĂDEANU</t>
  </si>
  <si>
    <t>BRĂEȘTI</t>
  </si>
  <si>
    <t>BREAZA</t>
  </si>
  <si>
    <t>BUDA</t>
  </si>
  <si>
    <t>C.A. ROSETTI</t>
  </si>
  <si>
    <t>CALVINI</t>
  </si>
  <si>
    <t>CĂNEȘTI</t>
  </si>
  <si>
    <t>CĂTINA</t>
  </si>
  <si>
    <t>CERNĂTEȘTI</t>
  </si>
  <si>
    <t>CHILIILE</t>
  </si>
  <si>
    <t>CHIOJDU</t>
  </si>
  <si>
    <t>CILIBIA</t>
  </si>
  <si>
    <t>CISLĂU</t>
  </si>
  <si>
    <t>COCHIRLEANCA</t>
  </si>
  <si>
    <t>COLȚI</t>
  </si>
  <si>
    <t>COSTEȘTI</t>
  </si>
  <si>
    <t>COZIENI</t>
  </si>
  <si>
    <t>FLORICA</t>
  </si>
  <si>
    <t>GĂLBINAȘI</t>
  </si>
  <si>
    <t>GHERĂSENI</t>
  </si>
  <si>
    <t>GHERGHEASA</t>
  </si>
  <si>
    <t>GLODEANU SĂRAT</t>
  </si>
  <si>
    <t>GLODEANU-SILIȘTEA</t>
  </si>
  <si>
    <t>GREBĂNU</t>
  </si>
  <si>
    <t>GURA TEGHII</t>
  </si>
  <si>
    <t>LARGU</t>
  </si>
  <si>
    <t>LOPĂTARI</t>
  </si>
  <si>
    <t>LUCIU</t>
  </si>
  <si>
    <t>MĂGURA</t>
  </si>
  <si>
    <t>MÂNZĂLEȘTI</t>
  </si>
  <si>
    <t>MĂRĂCINENI</t>
  </si>
  <si>
    <t>MĂRGĂRITEȘTI</t>
  </si>
  <si>
    <t>MEREI</t>
  </si>
  <si>
    <t>MIHĂILEȘTI</t>
  </si>
  <si>
    <t>MOVILA BANULUI</t>
  </si>
  <si>
    <t>MURGEȘTI</t>
  </si>
  <si>
    <t>NĂENI</t>
  </si>
  <si>
    <t>ODĂILE</t>
  </si>
  <si>
    <t>PADINA</t>
  </si>
  <si>
    <t>PĂNĂTĂU</t>
  </si>
  <si>
    <t>PARDOȘI</t>
  </si>
  <si>
    <t>PÂRSCOV</t>
  </si>
  <si>
    <t>PIETROASELE</t>
  </si>
  <si>
    <t>PODGORIA</t>
  </si>
  <si>
    <t>POȘTA CÂLNĂU</t>
  </si>
  <si>
    <t>PUIEȘTI</t>
  </si>
  <si>
    <t>RACOVIȚENI</t>
  </si>
  <si>
    <t>RÂMNICELU</t>
  </si>
  <si>
    <t>ROBEASCA</t>
  </si>
  <si>
    <t>RUȘEȚU</t>
  </si>
  <si>
    <t>SĂGEATA</t>
  </si>
  <si>
    <t>SĂHĂTENI</t>
  </si>
  <si>
    <t>SĂPOCA</t>
  </si>
  <si>
    <t>SĂRULEȘTI</t>
  </si>
  <si>
    <t>SCORȚOASA</t>
  </si>
  <si>
    <t>SCUTELNICI</t>
  </si>
  <si>
    <t>SIRIU</t>
  </si>
  <si>
    <t>SMEENI</t>
  </si>
  <si>
    <t>STÂLPU</t>
  </si>
  <si>
    <t>ȚINTEȘTI</t>
  </si>
  <si>
    <t>TISĂU</t>
  </si>
  <si>
    <t>TOPLICENI</t>
  </si>
  <si>
    <t>ULMENI</t>
  </si>
  <si>
    <t>UNGURIU</t>
  </si>
  <si>
    <t>VADU PAȘII</t>
  </si>
  <si>
    <t>VÂLCELELE</t>
  </si>
  <si>
    <t>VALEA RÂMNICULUI</t>
  </si>
  <si>
    <t>VALEA SALCIEI</t>
  </si>
  <si>
    <t>VERNEȘTI</t>
  </si>
  <si>
    <t>VINTILĂ VODĂ</t>
  </si>
  <si>
    <t>VIPEREȘTI</t>
  </si>
  <si>
    <t>ZĂRNEȘTI</t>
  </si>
  <si>
    <t>ZIDURI</t>
  </si>
  <si>
    <t>Tip</t>
  </si>
  <si>
    <t>Total</t>
  </si>
  <si>
    <t>Nr strat</t>
  </si>
  <si>
    <t>Municipiu</t>
  </si>
  <si>
    <t>Oras</t>
  </si>
  <si>
    <t>Strat</t>
  </si>
  <si>
    <t>Nr in fct de strat</t>
  </si>
  <si>
    <t>Comuna</t>
  </si>
  <si>
    <t>Suma pop in fct de strat</t>
  </si>
  <si>
    <t>Total:</t>
  </si>
  <si>
    <t>r</t>
  </si>
  <si>
    <t>ni</t>
  </si>
  <si>
    <t>n</t>
  </si>
  <si>
    <t>np</t>
  </si>
  <si>
    <t>z</t>
  </si>
  <si>
    <t>disp</t>
  </si>
  <si>
    <t>delta w</t>
  </si>
  <si>
    <t>efectD</t>
  </si>
  <si>
    <t>efectG</t>
  </si>
  <si>
    <t>Structura staturi (wi)</t>
  </si>
  <si>
    <t>ni/r</t>
  </si>
  <si>
    <t>ni final</t>
  </si>
  <si>
    <t>2. Analyze → Complex Samples → Select a Sample</t>
  </si>
  <si>
    <t>7. Bifăm toate căsuțele pentru salvarea variabilelor (probabilitate de includere, ponderi etc.)</t>
  </si>
  <si>
    <t>9. Finish</t>
  </si>
  <si>
    <r>
      <t xml:space="preserve">3. La </t>
    </r>
    <r>
      <rPr>
        <i/>
        <sz val="16"/>
        <color theme="1"/>
        <rFont val="Comic Sans MS"/>
        <family val="4"/>
      </rPr>
      <t>File</t>
    </r>
    <r>
      <rPr>
        <sz val="16"/>
        <color theme="1"/>
        <rFont val="Comic Sans MS"/>
        <family val="4"/>
      </rPr>
      <t xml:space="preserve"> scriem numele planului: plan_sondaj</t>
    </r>
  </si>
  <si>
    <t>1. File → Open → Data → selectăm fișierul Excel cu baza de date</t>
  </si>
  <si>
    <t>4. Stratify by: strat</t>
  </si>
  <si>
    <t>5. Metoda rămâne Simple Random Sampling</t>
  </si>
  <si>
    <t>8. New Dataset → denumit esantion_meri</t>
  </si>
  <si>
    <r>
      <t xml:space="preserve">6. La Clusters/Units: punem variabila strat, iar la Size introducem valoarea r (numărul de localități de selectat din fiecare strat) ca </t>
    </r>
    <r>
      <rPr>
        <i/>
        <sz val="16"/>
        <color theme="1"/>
        <rFont val="Comic Sans MS"/>
        <family val="4"/>
      </rPr>
      <t>constant</t>
    </r>
  </si>
  <si>
    <t>Exemplu de calcul:</t>
  </si>
  <si>
    <t>O comună cu 2.000 locuitori și 2 secții → fiecare secție = 1.000 votanți</t>
  </si>
  <si>
    <t>Regula de selecție:</t>
  </si>
  <si>
    <t>Selecția secțiilor se face sistematic (pas de eșantionare = nr. total secții / nr. secții de selectat), cu punct de start ales aleator.</t>
  </si>
  <si>
    <t>Premisă: Toate secțiile de votare au același număr de votanți (alocare egală pe secții).</t>
  </si>
  <si>
    <t>Oraș → se selectează 2 secții de votare</t>
  </si>
  <si>
    <t>Comună → se selectează 1 secție de votare</t>
  </si>
  <si>
    <t>Stadiul 1: Selectarea localităților în SPSS</t>
  </si>
  <si>
    <t>Sectii: Selectarea secțiilor de votare (unități de eșantionare intermediare)</t>
  </si>
  <si>
    <t>Populatie</t>
  </si>
  <si>
    <t>InclusionProbability_1_</t>
  </si>
  <si>
    <t>SampleWeightCumulative_1_</t>
  </si>
  <si>
    <t>PopulationSize_1_</t>
  </si>
  <si>
    <t>SampleSize_1_</t>
  </si>
  <si>
    <t>SamplingRate_1_</t>
  </si>
  <si>
    <t>SampleWeight_1_</t>
  </si>
  <si>
    <t>SampleWeight_Final_</t>
  </si>
  <si>
    <t>NEHOIU</t>
  </si>
  <si>
    <t>(sediul Secţiei de votare)</t>
  </si>
  <si>
    <t>NEHOIU [47925]</t>
  </si>
  <si>
    <t>integral#</t>
  </si>
  <si>
    <t>Casa de cultură Berca-Parter</t>
  </si>
  <si>
    <t>Strada 1 Decembrie , Nr. 71</t>
  </si>
  <si>
    <t>BERCA [45110]</t>
  </si>
  <si>
    <t>toate numerele din intervalul nr. 1 -180# nr. 421 -500# nr. -  bl. 1, bl. 2, bl. 3, bl. 4, bl. 5, bl. 6, bl. 7, bl. 8, bl. 9#</t>
  </si>
  <si>
    <t>Casa de Cultură GEORGE BĂICULESCU Nehoiu</t>
  </si>
  <si>
    <t>Strada 1 Decembrie 1918 , Nr. 1</t>
  </si>
  <si>
    <t>Strada 1 Decembrie 1918</t>
  </si>
  <si>
    <t>Nr. Secţie de votare</t>
  </si>
  <si>
    <t>Localitatea Sediului  Secţiei de Votare</t>
  </si>
  <si>
    <t>Sediul Secţiei de Votare</t>
  </si>
  <si>
    <t>Adresa Secţiei de votare</t>
  </si>
  <si>
    <t>Grup Scolar Tehnic Nehoiu Str. Scolii</t>
  </si>
  <si>
    <t>Strada Şcolii , Nr. 1</t>
  </si>
  <si>
    <t>Strada Alba Iulia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</si>
</sst>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omic Sans MS"/>
      <family val="4"/>
    </font>
    <font>
      <sz val="16"/>
      <color theme="1"/>
      <name val="Comic Sans MS"/>
      <family val="4"/>
    </font>
    <font>
      <i/>
      <sz val="16"/>
      <color theme="1"/>
      <name val="Comic Sans MS"/>
      <family val="4"/>
    </font>
    <font>
      <b/>
      <sz val="14"/>
      <color theme="0"/>
      <name val="Comic Sans MS"/>
      <family val="4"/>
    </font>
    <font>
      <sz val="14"/>
      <name val="Comic Sans MS"/>
      <family val="4"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theme="0" tint="-0.14999847407452621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auto="1"/>
      </top>
      <bottom style="medium">
        <color theme="1"/>
      </bottom>
      <diagonal/>
    </border>
    <border>
      <left/>
      <right style="thin">
        <color auto="1"/>
      </right>
      <top style="thin">
        <color auto="1"/>
      </top>
      <bottom style="medium">
        <color theme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0" fillId="0" borderId="2" xfId="0" applyBorder="1"/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2" fontId="3" fillId="6" borderId="2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numFmt numFmtId="2" formatCode="0.00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1"/>
        </top>
      </border>
    </dxf>
    <dxf>
      <border outline="0">
        <top style="thin">
          <color auto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1</xdr:row>
      <xdr:rowOff>19050</xdr:rowOff>
    </xdr:from>
    <xdr:to>
      <xdr:col>4</xdr:col>
      <xdr:colOff>136766</xdr:colOff>
      <xdr:row>5</xdr:row>
      <xdr:rowOff>18955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B41604-708C-4D2E-9525-1B3390DD1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209550"/>
          <a:ext cx="1975091" cy="7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</xdr:row>
      <xdr:rowOff>171450</xdr:rowOff>
    </xdr:from>
    <xdr:to>
      <xdr:col>5</xdr:col>
      <xdr:colOff>506656</xdr:colOff>
      <xdr:row>9</xdr:row>
      <xdr:rowOff>66593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D12825-5EAF-49A6-8D66-B1A00BDA5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1123950"/>
          <a:ext cx="2926006" cy="6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180975</xdr:rowOff>
    </xdr:from>
    <xdr:to>
      <xdr:col>5</xdr:col>
      <xdr:colOff>199292</xdr:colOff>
      <xdr:row>13</xdr:row>
      <xdr:rowOff>171001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59F6A2-6C83-49DD-AACB-573E147D9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2085975"/>
          <a:ext cx="2637692" cy="5615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74734</xdr:colOff>
      <xdr:row>18</xdr:row>
      <xdr:rowOff>157731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BFCC31-73DE-4F84-99C8-0DFD538E0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857500"/>
          <a:ext cx="2513134" cy="72923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994ADE-F9C2-471E-80A7-6433E4B29AF8}" name="Table3" displayName="Table3" ref="B2:E90" totalsRowCount="1" headerRowDxfId="35" dataDxfId="33" headerRowBorderDxfId="34" tableBorderDxfId="32" totalsRowBorderDxfId="31">
  <autoFilter ref="B2:E89" xr:uid="{E8994ADE-F9C2-471E-80A7-6433E4B29AF8}"/>
  <sortState xmlns:xlrd2="http://schemas.microsoft.com/office/spreadsheetml/2017/richdata2" ref="B3:E89">
    <sortCondition descending="1" ref="C2:C89"/>
  </sortState>
  <tableColumns count="4">
    <tableColumn id="3" xr3:uid="{3595172E-FE17-4A5D-A710-E8FEEE86088B}" name="Denumire localitate" totalsRowLabel="Total:" dataDxfId="30" totalsRowDxfId="29"/>
    <tableColumn id="4" xr3:uid="{4CFE7182-3EB1-47E1-856C-7D0729146301}" name="Populația rezidentă - municipii, orașe și comune" totalsRowFunction="custom" dataDxfId="28" totalsRowDxfId="27">
      <totalsRowFormula>SUM(Table3[Populația rezidentă - municipii, orașe și comune])</totalsRowFormula>
    </tableColumn>
    <tableColumn id="12" xr3:uid="{7C17F4BF-283A-4DCB-9A46-41BF0C888D18}" name="Tip" totalsRowFunction="count" dataDxfId="26" totalsRowDxfId="25"/>
    <tableColumn id="13" xr3:uid="{971FFE54-5032-47A6-8FA0-01CE2802AFEA}" name="Nr strat" dataDxfId="24" totalsRowDxfId="23">
      <calculatedColumnFormula>IF(C3&gt;30000,1,IF(C3&gt;=10000,2,IF(C3&gt;=4000,3,IF(C3&gt;=2000,4,5))))</calculatedColumnFormula>
    </tableColumn>
  </tableColumns>
  <tableStyleInfo name="TableStyleMedium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0D098F-663A-443D-8F4F-852A7AA047FE}" name="Table4" displayName="Table4" ref="B2:I8" totalsRowShown="0" headerRowDxfId="22" dataDxfId="21">
  <autoFilter ref="B2:I8" xr:uid="{960D098F-663A-443D-8F4F-852A7AA047FE}"/>
  <tableColumns count="8">
    <tableColumn id="1" xr3:uid="{E9D18B68-A173-4DA0-80E4-77EB111EEFE3}" name="Strat" dataDxfId="20"/>
    <tableColumn id="2" xr3:uid="{E954C9C0-E4C2-4CAD-AE36-F23F71873ADF}" name="Nr in fct de strat" dataDxfId="19"/>
    <tableColumn id="3" xr3:uid="{E3779DC3-424C-4678-BAB5-A674C6F9C394}" name="Suma pop in fct de strat" dataDxfId="18"/>
    <tableColumn id="4" xr3:uid="{6A209001-AAAA-40DB-9B7D-83679C4C8FDC}" name="Structura staturi (wi)" dataDxfId="17">
      <calculatedColumnFormula>Table4[[#This Row],[Suma pop in fct de strat]]/$D$8</calculatedColumnFormula>
    </tableColumn>
    <tableColumn id="5" xr3:uid="{0F5BADB4-6B08-46F4-BA37-C94A680A4C65}" name="r" dataDxfId="16"/>
    <tableColumn id="6" xr3:uid="{E40601E3-D582-4C4A-BD70-53DC7D46BC30}" name="ni" dataDxfId="15">
      <calculatedColumnFormula>Table4[[#This Row],[Structura staturi (wi)]]*Parametrii!$C$8</calculatedColumnFormula>
    </tableColumn>
    <tableColumn id="7" xr3:uid="{EB3A4873-738A-4A6C-965A-6A1DCA49DE66}" name="ni/r" dataDxfId="14">
      <calculatedColumnFormula>Table4[[#This Row],[ni]]/Table4[[#This Row],[r]]</calculatedColumnFormula>
    </tableColumn>
    <tableColumn id="8" xr3:uid="{F4390FFA-B96B-4FB4-B079-F5698A9EEFFB}" name="ni final" dataDxfId="13">
      <calculatedColumnFormula>ROUND(Table4[[#This Row],[ni/r]],0)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B302B-46BD-4BC9-BDA3-C6826F89CE35}" name="Table2" displayName="Table2" ref="B2:L21" totalsRowShown="0" headerRowDxfId="12" headerRowBorderDxfId="11" tableBorderDxfId="10">
  <autoFilter ref="B2:L21" xr:uid="{DC3B302B-46BD-4BC9-BDA3-C6826F89CE35}"/>
  <tableColumns count="11">
    <tableColumn id="1" xr3:uid="{62A043A7-12B7-4455-8439-156972E78752}" name="Denumire localitate" dataDxfId="9"/>
    <tableColumn id="2" xr3:uid="{DED66966-8E59-4561-BCE3-86AC5F774D30}" name="ni" dataDxfId="8"/>
    <tableColumn id="3" xr3:uid="{537A5CA5-163B-4B46-99F3-C435C04A97E7}" name="Populatie"/>
    <tableColumn id="4" xr3:uid="{3ACF01F7-D24C-4CFB-8058-C4BFA37254E6}" name="Strat" dataDxfId="7"/>
    <tableColumn id="5" xr3:uid="{73512E83-E253-44D6-8795-9AD42A70EAE5}" name="InclusionProbability_1_" dataDxfId="6"/>
    <tableColumn id="6" xr3:uid="{8ED2ADB3-FF46-4CCD-95B3-421705642942}" name="SampleWeightCumulative_1_" dataDxfId="5"/>
    <tableColumn id="7" xr3:uid="{1EEBCAF7-41C9-47B7-BE13-589B71A35453}" name="PopulationSize_1_" dataDxfId="4"/>
    <tableColumn id="8" xr3:uid="{4DC5F68D-A42A-4C09-A452-169CE8CC04E1}" name="SampleSize_1_" dataDxfId="3"/>
    <tableColumn id="9" xr3:uid="{74601C7E-F1E0-44F0-BB95-A26A3C593ADD}" name="SamplingRate_1_" dataDxfId="2"/>
    <tableColumn id="10" xr3:uid="{9D6DFF7D-03C4-470D-8C24-1B717BDB9AFF}" name="SampleWeight_1_" dataDxfId="1"/>
    <tableColumn id="11" xr3:uid="{1A0F3DA6-E66E-49FC-926B-B27ECF4C0F95}" name="SampleWeight_Final_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56529-223E-4F1B-B8C1-440B4E691A2B}">
  <dimension ref="B1:F90"/>
  <sheetViews>
    <sheetView workbookViewId="0">
      <selection activeCell="B23" sqref="B23:E23"/>
    </sheetView>
  </sheetViews>
  <sheetFormatPr defaultRowHeight="15" x14ac:dyDescent="0.25"/>
  <cols>
    <col min="1" max="1" width="10.5703125" customWidth="1"/>
    <col min="2" max="2" width="47.42578125" customWidth="1"/>
    <col min="3" max="3" width="23.28515625" customWidth="1"/>
    <col min="4" max="4" width="13.5703125" customWidth="1"/>
    <col min="6" max="6" width="17.7109375" customWidth="1"/>
  </cols>
  <sheetData>
    <row r="1" spans="2:6" ht="36.75" customHeight="1" x14ac:dyDescent="0.25"/>
    <row r="2" spans="2:6" ht="45" x14ac:dyDescent="0.25">
      <c r="B2" s="2" t="s">
        <v>0</v>
      </c>
      <c r="C2" s="2" t="s">
        <v>1</v>
      </c>
      <c r="D2" s="2" t="s">
        <v>89</v>
      </c>
      <c r="E2" s="2" t="s">
        <v>91</v>
      </c>
    </row>
    <row r="3" spans="2:6" ht="21" x14ac:dyDescent="0.25">
      <c r="B3" s="6" t="s">
        <v>2</v>
      </c>
      <c r="C3" s="6">
        <v>103481</v>
      </c>
      <c r="D3" s="6" t="s">
        <v>92</v>
      </c>
      <c r="E3" s="6">
        <f t="shared" ref="E3:E34" si="0">IF(C3&gt;30000,1,IF(C3&gt;=10000,2,IF(C3&gt;=4000,3,IF(C3&gt;=2000,4,5))))</f>
        <v>1</v>
      </c>
    </row>
    <row r="4" spans="2:6" ht="21" x14ac:dyDescent="0.25">
      <c r="B4" s="7" t="s">
        <v>3</v>
      </c>
      <c r="C4" s="7">
        <v>29774</v>
      </c>
      <c r="D4" s="6" t="s">
        <v>92</v>
      </c>
      <c r="E4" s="6">
        <f t="shared" si="0"/>
        <v>2</v>
      </c>
    </row>
    <row r="5" spans="2:6" ht="21" x14ac:dyDescent="0.25">
      <c r="B5" s="6" t="s">
        <v>80</v>
      </c>
      <c r="C5" s="6">
        <v>9726</v>
      </c>
      <c r="D5" s="6" t="s">
        <v>96</v>
      </c>
      <c r="E5" s="6">
        <f t="shared" si="0"/>
        <v>3</v>
      </c>
    </row>
    <row r="6" spans="2:6" ht="21" x14ac:dyDescent="0.25">
      <c r="B6" s="6" t="s">
        <v>46</v>
      </c>
      <c r="C6" s="6">
        <v>9653</v>
      </c>
      <c r="D6" s="6" t="s">
        <v>96</v>
      </c>
      <c r="E6" s="6">
        <f t="shared" si="0"/>
        <v>3</v>
      </c>
    </row>
    <row r="7" spans="2:6" ht="21" x14ac:dyDescent="0.25">
      <c r="B7" s="6" t="s">
        <v>4</v>
      </c>
      <c r="C7" s="6">
        <v>9464</v>
      </c>
      <c r="D7" s="6" t="s">
        <v>93</v>
      </c>
      <c r="E7" s="6">
        <f t="shared" si="0"/>
        <v>3</v>
      </c>
    </row>
    <row r="8" spans="2:6" ht="21" x14ac:dyDescent="0.25">
      <c r="B8" s="6" t="s">
        <v>84</v>
      </c>
      <c r="C8" s="6">
        <v>9008</v>
      </c>
      <c r="D8" s="6" t="s">
        <v>96</v>
      </c>
      <c r="E8" s="6">
        <f t="shared" si="0"/>
        <v>3</v>
      </c>
    </row>
    <row r="9" spans="2:6" ht="21" x14ac:dyDescent="0.25">
      <c r="B9" s="7" t="s">
        <v>11</v>
      </c>
      <c r="C9" s="7">
        <v>7741</v>
      </c>
      <c r="D9" s="6" t="s">
        <v>96</v>
      </c>
      <c r="E9" s="6">
        <f t="shared" si="0"/>
        <v>3</v>
      </c>
    </row>
    <row r="10" spans="2:6" ht="21" x14ac:dyDescent="0.25">
      <c r="B10" s="6" t="s">
        <v>48</v>
      </c>
      <c r="C10" s="6">
        <v>6785</v>
      </c>
      <c r="D10" s="6" t="s">
        <v>96</v>
      </c>
      <c r="E10" s="6">
        <f t="shared" si="0"/>
        <v>3</v>
      </c>
    </row>
    <row r="11" spans="2:6" ht="21" x14ac:dyDescent="0.25">
      <c r="B11" s="6" t="s">
        <v>6</v>
      </c>
      <c r="C11" s="6">
        <v>6384</v>
      </c>
      <c r="D11" s="6" t="s">
        <v>93</v>
      </c>
      <c r="E11" s="6">
        <f t="shared" si="0"/>
        <v>3</v>
      </c>
    </row>
    <row r="12" spans="2:6" ht="21" x14ac:dyDescent="0.25">
      <c r="B12" s="7" t="s">
        <v>5</v>
      </c>
      <c r="C12" s="7">
        <v>6276</v>
      </c>
      <c r="D12" s="6" t="s">
        <v>93</v>
      </c>
      <c r="E12" s="6">
        <f t="shared" si="0"/>
        <v>3</v>
      </c>
      <c r="F12" s="5"/>
    </row>
    <row r="13" spans="2:6" ht="21" x14ac:dyDescent="0.25">
      <c r="B13" s="7" t="s">
        <v>73</v>
      </c>
      <c r="C13" s="7">
        <v>5806</v>
      </c>
      <c r="D13" s="6" t="s">
        <v>96</v>
      </c>
      <c r="E13" s="6">
        <f t="shared" si="0"/>
        <v>3</v>
      </c>
    </row>
    <row r="14" spans="2:6" ht="21" x14ac:dyDescent="0.25">
      <c r="B14" s="6" t="s">
        <v>60</v>
      </c>
      <c r="C14" s="6">
        <v>5542</v>
      </c>
      <c r="D14" s="6" t="s">
        <v>96</v>
      </c>
      <c r="E14" s="6">
        <f t="shared" si="0"/>
        <v>3</v>
      </c>
    </row>
    <row r="15" spans="2:6" ht="21" x14ac:dyDescent="0.25">
      <c r="B15" s="6" t="s">
        <v>82</v>
      </c>
      <c r="C15" s="6">
        <v>5180</v>
      </c>
      <c r="D15" s="6" t="s">
        <v>96</v>
      </c>
      <c r="E15" s="6">
        <f t="shared" si="0"/>
        <v>3</v>
      </c>
    </row>
    <row r="16" spans="2:6" ht="21" x14ac:dyDescent="0.25">
      <c r="B16" s="7" t="s">
        <v>39</v>
      </c>
      <c r="C16" s="7">
        <v>5144</v>
      </c>
      <c r="D16" s="6" t="s">
        <v>96</v>
      </c>
      <c r="E16" s="6">
        <f t="shared" si="0"/>
        <v>3</v>
      </c>
    </row>
    <row r="17" spans="2:5" ht="21" x14ac:dyDescent="0.25">
      <c r="B17" s="7" t="s">
        <v>57</v>
      </c>
      <c r="C17" s="7">
        <v>4957</v>
      </c>
      <c r="D17" s="6" t="s">
        <v>96</v>
      </c>
      <c r="E17" s="6">
        <f t="shared" si="0"/>
        <v>3</v>
      </c>
    </row>
    <row r="18" spans="2:5" ht="21" x14ac:dyDescent="0.25">
      <c r="B18" s="7" t="s">
        <v>63</v>
      </c>
      <c r="C18" s="7">
        <v>4726</v>
      </c>
      <c r="D18" s="6" t="s">
        <v>96</v>
      </c>
      <c r="E18" s="6">
        <f t="shared" si="0"/>
        <v>3</v>
      </c>
    </row>
    <row r="19" spans="2:5" ht="21" x14ac:dyDescent="0.25">
      <c r="B19" s="7" t="s">
        <v>87</v>
      </c>
      <c r="C19" s="7">
        <v>4676</v>
      </c>
      <c r="D19" s="6" t="s">
        <v>96</v>
      </c>
      <c r="E19" s="6">
        <f t="shared" si="0"/>
        <v>3</v>
      </c>
    </row>
    <row r="20" spans="2:5" ht="21" x14ac:dyDescent="0.25">
      <c r="B20" s="7" t="s">
        <v>29</v>
      </c>
      <c r="C20" s="7">
        <v>4654</v>
      </c>
      <c r="D20" s="6" t="s">
        <v>96</v>
      </c>
      <c r="E20" s="6">
        <f t="shared" si="0"/>
        <v>3</v>
      </c>
    </row>
    <row r="21" spans="2:5" ht="21" x14ac:dyDescent="0.25">
      <c r="B21" s="7" t="s">
        <v>31</v>
      </c>
      <c r="C21" s="7">
        <v>4493</v>
      </c>
      <c r="D21" s="6" t="s">
        <v>96</v>
      </c>
      <c r="E21" s="6">
        <f t="shared" si="0"/>
        <v>3</v>
      </c>
    </row>
    <row r="22" spans="2:5" ht="21" x14ac:dyDescent="0.25">
      <c r="B22" s="7" t="s">
        <v>21</v>
      </c>
      <c r="C22" s="7">
        <v>4424</v>
      </c>
      <c r="D22" s="6" t="s">
        <v>96</v>
      </c>
      <c r="E22" s="6">
        <f t="shared" si="0"/>
        <v>3</v>
      </c>
    </row>
    <row r="23" spans="2:5" ht="21" x14ac:dyDescent="0.25">
      <c r="B23" s="6" t="s">
        <v>76</v>
      </c>
      <c r="C23" s="6">
        <v>4314</v>
      </c>
      <c r="D23" s="6" t="s">
        <v>96</v>
      </c>
      <c r="E23" s="6">
        <f t="shared" si="0"/>
        <v>3</v>
      </c>
    </row>
    <row r="24" spans="2:5" ht="21" x14ac:dyDescent="0.25">
      <c r="B24" s="6" t="s">
        <v>28</v>
      </c>
      <c r="C24" s="6">
        <v>4218</v>
      </c>
      <c r="D24" s="6" t="s">
        <v>96</v>
      </c>
      <c r="E24" s="6">
        <f t="shared" si="0"/>
        <v>3</v>
      </c>
    </row>
    <row r="25" spans="2:5" ht="21" x14ac:dyDescent="0.25">
      <c r="B25" s="6" t="s">
        <v>34</v>
      </c>
      <c r="C25" s="6">
        <v>4208</v>
      </c>
      <c r="D25" s="6" t="s">
        <v>96</v>
      </c>
      <c r="E25" s="6">
        <f t="shared" si="0"/>
        <v>3</v>
      </c>
    </row>
    <row r="26" spans="2:5" ht="21" x14ac:dyDescent="0.25">
      <c r="B26" s="7" t="s">
        <v>75</v>
      </c>
      <c r="C26" s="7">
        <v>4197</v>
      </c>
      <c r="D26" s="6" t="s">
        <v>96</v>
      </c>
      <c r="E26" s="6">
        <f t="shared" si="0"/>
        <v>3</v>
      </c>
    </row>
    <row r="27" spans="2:5" ht="21" x14ac:dyDescent="0.25">
      <c r="B27" s="6" t="s">
        <v>66</v>
      </c>
      <c r="C27" s="6">
        <v>4069</v>
      </c>
      <c r="D27" s="6" t="s">
        <v>96</v>
      </c>
      <c r="E27" s="6">
        <f t="shared" si="0"/>
        <v>3</v>
      </c>
    </row>
    <row r="28" spans="2:5" ht="21" x14ac:dyDescent="0.25">
      <c r="B28" s="7" t="s">
        <v>77</v>
      </c>
      <c r="C28" s="7">
        <v>3987</v>
      </c>
      <c r="D28" s="6" t="s">
        <v>96</v>
      </c>
      <c r="E28" s="6">
        <f t="shared" si="0"/>
        <v>4</v>
      </c>
    </row>
    <row r="29" spans="2:5" ht="21" x14ac:dyDescent="0.25">
      <c r="B29" s="7" t="s">
        <v>37</v>
      </c>
      <c r="C29" s="7">
        <v>3730</v>
      </c>
      <c r="D29" s="6" t="s">
        <v>96</v>
      </c>
      <c r="E29" s="6">
        <f t="shared" si="0"/>
        <v>4</v>
      </c>
    </row>
    <row r="30" spans="2:5" ht="21" x14ac:dyDescent="0.25">
      <c r="B30" s="6" t="s">
        <v>24</v>
      </c>
      <c r="C30" s="6">
        <v>3659</v>
      </c>
      <c r="D30" s="6" t="s">
        <v>96</v>
      </c>
      <c r="E30" s="6">
        <f t="shared" si="0"/>
        <v>4</v>
      </c>
    </row>
    <row r="31" spans="2:5" ht="21" x14ac:dyDescent="0.25">
      <c r="B31" s="6" t="s">
        <v>10</v>
      </c>
      <c r="C31" s="6">
        <v>3630</v>
      </c>
      <c r="D31" s="6" t="s">
        <v>96</v>
      </c>
      <c r="E31" s="6">
        <f t="shared" si="0"/>
        <v>4</v>
      </c>
    </row>
    <row r="32" spans="2:5" ht="21" x14ac:dyDescent="0.25">
      <c r="B32" s="6" t="s">
        <v>88</v>
      </c>
      <c r="C32" s="6">
        <v>3476</v>
      </c>
      <c r="D32" s="6" t="s">
        <v>96</v>
      </c>
      <c r="E32" s="6">
        <f t="shared" si="0"/>
        <v>4</v>
      </c>
    </row>
    <row r="33" spans="2:5" ht="21" x14ac:dyDescent="0.25">
      <c r="B33" s="6" t="s">
        <v>54</v>
      </c>
      <c r="C33" s="6">
        <v>3451</v>
      </c>
      <c r="D33" s="6" t="s">
        <v>96</v>
      </c>
      <c r="E33" s="6">
        <f t="shared" si="0"/>
        <v>4</v>
      </c>
    </row>
    <row r="34" spans="2:5" ht="21" x14ac:dyDescent="0.25">
      <c r="B34" s="6" t="s">
        <v>68</v>
      </c>
      <c r="C34" s="6">
        <v>3391</v>
      </c>
      <c r="D34" s="6" t="s">
        <v>96</v>
      </c>
      <c r="E34" s="6">
        <f t="shared" si="0"/>
        <v>4</v>
      </c>
    </row>
    <row r="35" spans="2:5" ht="21" x14ac:dyDescent="0.25">
      <c r="B35" s="7" t="s">
        <v>61</v>
      </c>
      <c r="C35" s="7">
        <v>3371</v>
      </c>
      <c r="D35" s="6" t="s">
        <v>96</v>
      </c>
      <c r="E35" s="6">
        <f t="shared" ref="E35:E66" si="1">IF(C35&gt;30000,1,IF(C35&gt;=10000,2,IF(C35&gt;=4000,3,IF(C35&gt;=2000,4,5))))</f>
        <v>4</v>
      </c>
    </row>
    <row r="36" spans="2:5" ht="21" x14ac:dyDescent="0.25">
      <c r="B36" s="6" t="s">
        <v>38</v>
      </c>
      <c r="C36" s="6">
        <v>3364</v>
      </c>
      <c r="D36" s="6" t="s">
        <v>96</v>
      </c>
      <c r="E36" s="6">
        <f t="shared" si="1"/>
        <v>4</v>
      </c>
    </row>
    <row r="37" spans="2:5" ht="21" x14ac:dyDescent="0.25">
      <c r="B37" s="7" t="s">
        <v>59</v>
      </c>
      <c r="C37" s="7">
        <v>3266</v>
      </c>
      <c r="D37" s="6" t="s">
        <v>96</v>
      </c>
      <c r="E37" s="6">
        <f t="shared" si="1"/>
        <v>4</v>
      </c>
    </row>
    <row r="38" spans="2:5" ht="21" x14ac:dyDescent="0.25">
      <c r="B38" s="6" t="s">
        <v>86</v>
      </c>
      <c r="C38" s="6">
        <v>3242</v>
      </c>
      <c r="D38" s="6" t="s">
        <v>96</v>
      </c>
      <c r="E38" s="6">
        <f t="shared" si="1"/>
        <v>4</v>
      </c>
    </row>
    <row r="39" spans="2:5" ht="21" x14ac:dyDescent="0.25">
      <c r="B39" s="7" t="s">
        <v>65</v>
      </c>
      <c r="C39" s="7">
        <v>3173</v>
      </c>
      <c r="D39" s="6" t="s">
        <v>96</v>
      </c>
      <c r="E39" s="6">
        <f t="shared" si="1"/>
        <v>4</v>
      </c>
    </row>
    <row r="40" spans="2:5" ht="21" x14ac:dyDescent="0.25">
      <c r="B40" s="6" t="s">
        <v>78</v>
      </c>
      <c r="C40" s="6">
        <v>3146</v>
      </c>
      <c r="D40" s="6" t="s">
        <v>96</v>
      </c>
      <c r="E40" s="6">
        <f t="shared" si="1"/>
        <v>4</v>
      </c>
    </row>
    <row r="41" spans="2:5" ht="21" x14ac:dyDescent="0.25">
      <c r="B41" s="7" t="s">
        <v>35</v>
      </c>
      <c r="C41" s="7">
        <v>3079</v>
      </c>
      <c r="D41" s="6" t="s">
        <v>96</v>
      </c>
      <c r="E41" s="6">
        <f t="shared" si="1"/>
        <v>4</v>
      </c>
    </row>
    <row r="42" spans="2:5" ht="21" x14ac:dyDescent="0.25">
      <c r="B42" s="6" t="s">
        <v>72</v>
      </c>
      <c r="C42" s="6">
        <v>3063</v>
      </c>
      <c r="D42" s="6" t="s">
        <v>96</v>
      </c>
      <c r="E42" s="6">
        <f t="shared" si="1"/>
        <v>4</v>
      </c>
    </row>
    <row r="43" spans="2:5" ht="21" x14ac:dyDescent="0.25">
      <c r="B43" s="6" t="s">
        <v>20</v>
      </c>
      <c r="C43" s="6">
        <v>3049</v>
      </c>
      <c r="D43" s="6" t="s">
        <v>96</v>
      </c>
      <c r="E43" s="6">
        <f t="shared" si="1"/>
        <v>4</v>
      </c>
    </row>
    <row r="44" spans="2:5" ht="21" x14ac:dyDescent="0.25">
      <c r="B44" s="6" t="s">
        <v>74</v>
      </c>
      <c r="C44" s="6">
        <v>3033</v>
      </c>
      <c r="D44" s="6" t="s">
        <v>96</v>
      </c>
      <c r="E44" s="6">
        <f t="shared" si="1"/>
        <v>4</v>
      </c>
    </row>
    <row r="45" spans="2:5" ht="21" x14ac:dyDescent="0.25">
      <c r="B45" s="6" t="s">
        <v>40</v>
      </c>
      <c r="C45" s="6">
        <v>3003</v>
      </c>
      <c r="D45" s="6" t="s">
        <v>96</v>
      </c>
      <c r="E45" s="6">
        <f t="shared" si="1"/>
        <v>4</v>
      </c>
    </row>
    <row r="46" spans="2:5" ht="21" x14ac:dyDescent="0.25">
      <c r="B46" s="6" t="s">
        <v>42</v>
      </c>
      <c r="C46" s="6">
        <v>2999</v>
      </c>
      <c r="D46" s="6" t="s">
        <v>96</v>
      </c>
      <c r="E46" s="6">
        <f t="shared" si="1"/>
        <v>4</v>
      </c>
    </row>
    <row r="47" spans="2:5" ht="21" x14ac:dyDescent="0.25">
      <c r="B47" s="6" t="s">
        <v>26</v>
      </c>
      <c r="C47" s="6">
        <v>2950</v>
      </c>
      <c r="D47" s="6" t="s">
        <v>96</v>
      </c>
      <c r="E47" s="6">
        <f t="shared" si="1"/>
        <v>4</v>
      </c>
    </row>
    <row r="48" spans="2:5" ht="21" x14ac:dyDescent="0.25">
      <c r="B48" s="7" t="s">
        <v>19</v>
      </c>
      <c r="C48" s="7">
        <v>2896</v>
      </c>
      <c r="D48" s="6" t="s">
        <v>96</v>
      </c>
      <c r="E48" s="6">
        <f t="shared" si="1"/>
        <v>4</v>
      </c>
    </row>
    <row r="49" spans="2:5" ht="21" x14ac:dyDescent="0.25">
      <c r="B49" s="7" t="s">
        <v>67</v>
      </c>
      <c r="C49" s="7">
        <v>2835</v>
      </c>
      <c r="D49" s="6" t="s">
        <v>96</v>
      </c>
      <c r="E49" s="6">
        <f t="shared" si="1"/>
        <v>4</v>
      </c>
    </row>
    <row r="50" spans="2:5" ht="21" x14ac:dyDescent="0.25">
      <c r="B50" s="6" t="s">
        <v>58</v>
      </c>
      <c r="C50" s="6">
        <v>2803</v>
      </c>
      <c r="D50" s="6" t="s">
        <v>96</v>
      </c>
      <c r="E50" s="6">
        <f t="shared" si="1"/>
        <v>4</v>
      </c>
    </row>
    <row r="51" spans="2:5" ht="21" x14ac:dyDescent="0.25">
      <c r="B51" s="7" t="s">
        <v>43</v>
      </c>
      <c r="C51" s="7">
        <v>2591</v>
      </c>
      <c r="D51" s="6" t="s">
        <v>96</v>
      </c>
      <c r="E51" s="6">
        <f t="shared" si="1"/>
        <v>4</v>
      </c>
    </row>
    <row r="52" spans="2:5" ht="21" x14ac:dyDescent="0.25">
      <c r="B52" s="7" t="s">
        <v>85</v>
      </c>
      <c r="C52" s="7">
        <v>2540</v>
      </c>
      <c r="D52" s="6" t="s">
        <v>96</v>
      </c>
      <c r="E52" s="6">
        <f t="shared" si="1"/>
        <v>4</v>
      </c>
    </row>
    <row r="53" spans="2:5" ht="21" x14ac:dyDescent="0.25">
      <c r="B53" s="6" t="s">
        <v>18</v>
      </c>
      <c r="C53" s="6">
        <v>2474</v>
      </c>
      <c r="D53" s="6" t="s">
        <v>96</v>
      </c>
      <c r="E53" s="6">
        <f t="shared" si="1"/>
        <v>4</v>
      </c>
    </row>
    <row r="54" spans="2:5" ht="21" x14ac:dyDescent="0.25">
      <c r="B54" s="6" t="s">
        <v>70</v>
      </c>
      <c r="C54" s="6">
        <v>2452</v>
      </c>
      <c r="D54" s="6" t="s">
        <v>96</v>
      </c>
      <c r="E54" s="6">
        <f t="shared" si="1"/>
        <v>4</v>
      </c>
    </row>
    <row r="55" spans="2:5" ht="21" x14ac:dyDescent="0.25">
      <c r="B55" s="6" t="s">
        <v>50</v>
      </c>
      <c r="C55" s="6">
        <v>2416</v>
      </c>
      <c r="D55" s="6" t="s">
        <v>96</v>
      </c>
      <c r="E55" s="6">
        <f t="shared" si="1"/>
        <v>4</v>
      </c>
    </row>
    <row r="56" spans="2:5" ht="21" x14ac:dyDescent="0.25">
      <c r="B56" s="7" t="s">
        <v>23</v>
      </c>
      <c r="C56" s="7">
        <v>2182</v>
      </c>
      <c r="D56" s="6" t="s">
        <v>96</v>
      </c>
      <c r="E56" s="6">
        <f t="shared" si="1"/>
        <v>4</v>
      </c>
    </row>
    <row r="57" spans="2:5" ht="21" x14ac:dyDescent="0.25">
      <c r="B57" s="6" t="s">
        <v>12</v>
      </c>
      <c r="C57" s="6">
        <v>2175</v>
      </c>
      <c r="D57" s="6" t="s">
        <v>96</v>
      </c>
      <c r="E57" s="6">
        <f t="shared" si="1"/>
        <v>4</v>
      </c>
    </row>
    <row r="58" spans="2:5" ht="21" x14ac:dyDescent="0.25">
      <c r="B58" s="6" t="s">
        <v>36</v>
      </c>
      <c r="C58" s="6">
        <v>2166</v>
      </c>
      <c r="D58" s="6" t="s">
        <v>96</v>
      </c>
      <c r="E58" s="6">
        <f t="shared" si="1"/>
        <v>4</v>
      </c>
    </row>
    <row r="59" spans="2:5" ht="21" x14ac:dyDescent="0.25">
      <c r="B59" s="7" t="s">
        <v>49</v>
      </c>
      <c r="C59" s="7">
        <v>2137</v>
      </c>
      <c r="D59" s="6" t="s">
        <v>96</v>
      </c>
      <c r="E59" s="6">
        <f t="shared" si="1"/>
        <v>4</v>
      </c>
    </row>
    <row r="60" spans="2:5" ht="21" x14ac:dyDescent="0.25">
      <c r="B60" s="7" t="s">
        <v>9</v>
      </c>
      <c r="C60" s="7">
        <v>2100</v>
      </c>
      <c r="D60" s="6" t="s">
        <v>96</v>
      </c>
      <c r="E60" s="6">
        <f t="shared" si="1"/>
        <v>4</v>
      </c>
    </row>
    <row r="61" spans="2:5" ht="21" x14ac:dyDescent="0.25">
      <c r="B61" s="7" t="s">
        <v>7</v>
      </c>
      <c r="C61" s="7">
        <v>2090</v>
      </c>
      <c r="D61" s="6" t="s">
        <v>96</v>
      </c>
      <c r="E61" s="6">
        <f t="shared" si="1"/>
        <v>4</v>
      </c>
    </row>
    <row r="62" spans="2:5" ht="21" x14ac:dyDescent="0.25">
      <c r="B62" s="6" t="s">
        <v>44</v>
      </c>
      <c r="C62" s="6">
        <v>2089</v>
      </c>
      <c r="D62" s="6" t="s">
        <v>96</v>
      </c>
      <c r="E62" s="6">
        <f t="shared" si="1"/>
        <v>4</v>
      </c>
    </row>
    <row r="63" spans="2:5" ht="21" x14ac:dyDescent="0.25">
      <c r="B63" s="6" t="s">
        <v>16</v>
      </c>
      <c r="C63" s="6">
        <v>2077</v>
      </c>
      <c r="D63" s="6" t="s">
        <v>96</v>
      </c>
      <c r="E63" s="6">
        <f t="shared" si="1"/>
        <v>4</v>
      </c>
    </row>
    <row r="64" spans="2:5" ht="21" x14ac:dyDescent="0.25">
      <c r="B64" s="7" t="s">
        <v>55</v>
      </c>
      <c r="C64" s="7">
        <v>2072</v>
      </c>
      <c r="D64" s="6" t="s">
        <v>96</v>
      </c>
      <c r="E64" s="6">
        <f t="shared" si="1"/>
        <v>4</v>
      </c>
    </row>
    <row r="65" spans="2:5" ht="21" x14ac:dyDescent="0.25">
      <c r="B65" s="7" t="s">
        <v>45</v>
      </c>
      <c r="C65" s="7">
        <v>2069</v>
      </c>
      <c r="D65" s="6" t="s">
        <v>96</v>
      </c>
      <c r="E65" s="6">
        <f t="shared" si="1"/>
        <v>4</v>
      </c>
    </row>
    <row r="66" spans="2:5" ht="21" x14ac:dyDescent="0.25">
      <c r="B66" s="7" t="s">
        <v>17</v>
      </c>
      <c r="C66" s="7">
        <v>2057</v>
      </c>
      <c r="D66" s="6" t="s">
        <v>96</v>
      </c>
      <c r="E66" s="6">
        <f t="shared" si="1"/>
        <v>4</v>
      </c>
    </row>
    <row r="67" spans="2:5" ht="21" x14ac:dyDescent="0.25">
      <c r="B67" s="7" t="s">
        <v>71</v>
      </c>
      <c r="C67" s="7">
        <v>1979</v>
      </c>
      <c r="D67" s="6" t="s">
        <v>96</v>
      </c>
      <c r="E67" s="6">
        <f t="shared" ref="E67:E89" si="2">IF(C67&gt;30000,1,IF(C67&gt;=10000,2,IF(C67&gt;=4000,3,IF(C67&gt;=2000,4,5))))</f>
        <v>5</v>
      </c>
    </row>
    <row r="68" spans="2:5" ht="21" x14ac:dyDescent="0.25">
      <c r="B68" s="6" t="s">
        <v>14</v>
      </c>
      <c r="C68" s="6">
        <v>1970</v>
      </c>
      <c r="D68" s="6" t="s">
        <v>96</v>
      </c>
      <c r="E68" s="6">
        <f t="shared" si="2"/>
        <v>5</v>
      </c>
    </row>
    <row r="69" spans="2:5" ht="21" x14ac:dyDescent="0.25">
      <c r="B69" s="7" t="s">
        <v>79</v>
      </c>
      <c r="C69" s="7">
        <v>1969</v>
      </c>
      <c r="D69" s="6" t="s">
        <v>96</v>
      </c>
      <c r="E69" s="6">
        <f t="shared" si="2"/>
        <v>5</v>
      </c>
    </row>
    <row r="70" spans="2:5" ht="21" x14ac:dyDescent="0.25">
      <c r="B70" s="6" t="s">
        <v>32</v>
      </c>
      <c r="C70" s="6">
        <v>1747</v>
      </c>
      <c r="D70" s="6" t="s">
        <v>96</v>
      </c>
      <c r="E70" s="6">
        <f t="shared" si="2"/>
        <v>5</v>
      </c>
    </row>
    <row r="71" spans="2:5" ht="21" x14ac:dyDescent="0.25">
      <c r="B71" s="7" t="s">
        <v>27</v>
      </c>
      <c r="C71" s="7">
        <v>1639</v>
      </c>
      <c r="D71" s="6" t="s">
        <v>96</v>
      </c>
      <c r="E71" s="6">
        <f t="shared" si="2"/>
        <v>5</v>
      </c>
    </row>
    <row r="72" spans="2:5" ht="21" x14ac:dyDescent="0.25">
      <c r="B72" s="6" t="s">
        <v>52</v>
      </c>
      <c r="C72" s="6">
        <v>1516</v>
      </c>
      <c r="D72" s="6" t="s">
        <v>96</v>
      </c>
      <c r="E72" s="6">
        <f t="shared" si="2"/>
        <v>5</v>
      </c>
    </row>
    <row r="73" spans="2:5" ht="21" x14ac:dyDescent="0.25">
      <c r="B73" s="6" t="s">
        <v>8</v>
      </c>
      <c r="C73" s="6">
        <v>1505</v>
      </c>
      <c r="D73" s="6" t="s">
        <v>96</v>
      </c>
      <c r="E73" s="6">
        <f t="shared" si="2"/>
        <v>5</v>
      </c>
    </row>
    <row r="74" spans="2:5" ht="21" x14ac:dyDescent="0.25">
      <c r="B74" s="7" t="s">
        <v>81</v>
      </c>
      <c r="C74" s="7">
        <v>1372</v>
      </c>
      <c r="D74" s="6" t="s">
        <v>96</v>
      </c>
      <c r="E74" s="6">
        <f t="shared" si="2"/>
        <v>5</v>
      </c>
    </row>
    <row r="75" spans="2:5" ht="21" x14ac:dyDescent="0.25">
      <c r="B75" s="7" t="s">
        <v>33</v>
      </c>
      <c r="C75" s="7">
        <v>1301</v>
      </c>
      <c r="D75" s="6" t="s">
        <v>96</v>
      </c>
      <c r="E75" s="6">
        <f t="shared" si="2"/>
        <v>5</v>
      </c>
    </row>
    <row r="76" spans="2:5" ht="21" x14ac:dyDescent="0.25">
      <c r="B76" s="7" t="s">
        <v>41</v>
      </c>
      <c r="C76" s="7">
        <v>1245</v>
      </c>
      <c r="D76" s="6" t="s">
        <v>96</v>
      </c>
      <c r="E76" s="6">
        <f t="shared" si="2"/>
        <v>5</v>
      </c>
    </row>
    <row r="77" spans="2:5" ht="21" x14ac:dyDescent="0.25">
      <c r="B77" s="6" t="s">
        <v>62</v>
      </c>
      <c r="C77" s="6">
        <v>1192</v>
      </c>
      <c r="D77" s="6" t="s">
        <v>96</v>
      </c>
      <c r="E77" s="6">
        <f t="shared" si="2"/>
        <v>5</v>
      </c>
    </row>
    <row r="78" spans="2:5" ht="21" x14ac:dyDescent="0.25">
      <c r="B78" s="7" t="s">
        <v>69</v>
      </c>
      <c r="C78" s="7">
        <v>1068</v>
      </c>
      <c r="D78" s="6" t="s">
        <v>96</v>
      </c>
      <c r="E78" s="6">
        <f t="shared" si="2"/>
        <v>5</v>
      </c>
    </row>
    <row r="79" spans="2:5" ht="21" x14ac:dyDescent="0.25">
      <c r="B79" s="6" t="s">
        <v>64</v>
      </c>
      <c r="C79" s="6">
        <v>936</v>
      </c>
      <c r="D79" s="6" t="s">
        <v>96</v>
      </c>
      <c r="E79" s="6">
        <f t="shared" si="2"/>
        <v>5</v>
      </c>
    </row>
    <row r="80" spans="2:5" ht="21" x14ac:dyDescent="0.25">
      <c r="B80" s="7" t="s">
        <v>13</v>
      </c>
      <c r="C80" s="7">
        <v>905</v>
      </c>
      <c r="D80" s="6" t="s">
        <v>96</v>
      </c>
      <c r="E80" s="6">
        <f t="shared" si="2"/>
        <v>5</v>
      </c>
    </row>
    <row r="81" spans="2:5" ht="21" x14ac:dyDescent="0.25">
      <c r="B81" s="7" t="s">
        <v>15</v>
      </c>
      <c r="C81" s="7">
        <v>814</v>
      </c>
      <c r="D81" s="6" t="s">
        <v>96</v>
      </c>
      <c r="E81" s="6">
        <f t="shared" si="2"/>
        <v>5</v>
      </c>
    </row>
    <row r="82" spans="2:5" ht="21" x14ac:dyDescent="0.25">
      <c r="B82" s="6" t="s">
        <v>30</v>
      </c>
      <c r="C82" s="6">
        <v>809</v>
      </c>
      <c r="D82" s="6" t="s">
        <v>96</v>
      </c>
      <c r="E82" s="6">
        <f t="shared" si="2"/>
        <v>5</v>
      </c>
    </row>
    <row r="83" spans="2:5" ht="21" x14ac:dyDescent="0.25">
      <c r="B83" s="7" t="s">
        <v>51</v>
      </c>
      <c r="C83" s="7">
        <v>727</v>
      </c>
      <c r="D83" s="6" t="s">
        <v>96</v>
      </c>
      <c r="E83" s="6">
        <f t="shared" si="2"/>
        <v>5</v>
      </c>
    </row>
    <row r="84" spans="2:5" ht="21" x14ac:dyDescent="0.25">
      <c r="B84" s="7" t="s">
        <v>53</v>
      </c>
      <c r="C84" s="7">
        <v>651</v>
      </c>
      <c r="D84" s="6" t="s">
        <v>96</v>
      </c>
      <c r="E84" s="6">
        <f t="shared" si="2"/>
        <v>5</v>
      </c>
    </row>
    <row r="85" spans="2:5" ht="21" x14ac:dyDescent="0.25">
      <c r="B85" s="6" t="s">
        <v>22</v>
      </c>
      <c r="C85" s="6">
        <v>623</v>
      </c>
      <c r="D85" s="6" t="s">
        <v>96</v>
      </c>
      <c r="E85" s="6">
        <f t="shared" si="2"/>
        <v>5</v>
      </c>
    </row>
    <row r="86" spans="2:5" ht="21" x14ac:dyDescent="0.25">
      <c r="B86" s="7" t="s">
        <v>83</v>
      </c>
      <c r="C86" s="7">
        <v>529</v>
      </c>
      <c r="D86" s="6" t="s">
        <v>96</v>
      </c>
      <c r="E86" s="6">
        <f t="shared" si="2"/>
        <v>5</v>
      </c>
    </row>
    <row r="87" spans="2:5" ht="21" x14ac:dyDescent="0.25">
      <c r="B87" s="7" t="s">
        <v>25</v>
      </c>
      <c r="C87" s="7">
        <v>506</v>
      </c>
      <c r="D87" s="6" t="s">
        <v>96</v>
      </c>
      <c r="E87" s="6">
        <f t="shared" si="2"/>
        <v>5</v>
      </c>
    </row>
    <row r="88" spans="2:5" ht="21" x14ac:dyDescent="0.25">
      <c r="B88" s="7" t="s">
        <v>47</v>
      </c>
      <c r="C88" s="7">
        <v>478</v>
      </c>
      <c r="D88" s="6" t="s">
        <v>96</v>
      </c>
      <c r="E88" s="6">
        <f t="shared" si="2"/>
        <v>5</v>
      </c>
    </row>
    <row r="89" spans="2:5" ht="21" x14ac:dyDescent="0.25">
      <c r="B89" s="6" t="s">
        <v>56</v>
      </c>
      <c r="C89" s="6">
        <v>315</v>
      </c>
      <c r="D89" s="6" t="s">
        <v>96</v>
      </c>
      <c r="E89" s="6">
        <f t="shared" si="2"/>
        <v>5</v>
      </c>
    </row>
    <row r="90" spans="2:5" ht="21" x14ac:dyDescent="0.25">
      <c r="B90" s="3" t="s">
        <v>98</v>
      </c>
      <c r="C90" s="3">
        <f>SUM(Table3[Populația rezidentă - municipii, orașe și comune])</f>
        <v>404979</v>
      </c>
      <c r="D90" s="3">
        <f>SUBTOTAL(103,Table3[Tip])</f>
        <v>87</v>
      </c>
      <c r="E90" s="4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7192A-DC69-4A95-A129-0D5B3657B946}">
  <dimension ref="B2:I8"/>
  <sheetViews>
    <sheetView zoomScale="175" zoomScaleNormal="175" workbookViewId="0">
      <selection activeCell="C3" sqref="C3:C8"/>
    </sheetView>
  </sheetViews>
  <sheetFormatPr defaultRowHeight="15" x14ac:dyDescent="0.25"/>
  <cols>
    <col min="1" max="1" width="8.5703125" style="1" customWidth="1"/>
    <col min="2" max="2" width="30.85546875" style="1" customWidth="1"/>
    <col min="3" max="3" width="26.7109375" style="1" bestFit="1" customWidth="1"/>
    <col min="4" max="4" width="23.5703125" style="1" bestFit="1" customWidth="1"/>
    <col min="5" max="5" width="24.5703125" style="1" customWidth="1"/>
    <col min="6" max="16384" width="9.140625" style="1"/>
  </cols>
  <sheetData>
    <row r="2" spans="2:9" x14ac:dyDescent="0.25">
      <c r="B2" s="1" t="s">
        <v>94</v>
      </c>
      <c r="C2" s="1" t="s">
        <v>95</v>
      </c>
      <c r="D2" s="1" t="s">
        <v>97</v>
      </c>
      <c r="E2" s="1" t="s">
        <v>108</v>
      </c>
      <c r="F2" s="1" t="s">
        <v>99</v>
      </c>
      <c r="G2" s="1" t="s">
        <v>100</v>
      </c>
      <c r="H2" s="1" t="s">
        <v>109</v>
      </c>
      <c r="I2" s="1" t="s">
        <v>110</v>
      </c>
    </row>
    <row r="3" spans="2:9" x14ac:dyDescent="0.25">
      <c r="B3" s="8">
        <v>1</v>
      </c>
      <c r="C3" s="8">
        <f>COUNTIF(Table3[Nr strat],1)</f>
        <v>1</v>
      </c>
      <c r="D3" s="8">
        <f>Table3[[#This Row],[Populația rezidentă - municipii, orașe și comune]]</f>
        <v>103481</v>
      </c>
      <c r="E3" s="8">
        <f>Table4[[#This Row],[Suma pop in fct de strat]]/$D$8</f>
        <v>0.25552189125855906</v>
      </c>
      <c r="F3" s="9">
        <v>1</v>
      </c>
      <c r="G3" s="9">
        <f>Table4[[#This Row],[Structura staturi (wi)]]*Parametrii!$C$8</f>
        <v>514.47233023520062</v>
      </c>
      <c r="H3" s="12">
        <f>Table4[[#This Row],[ni]]/Table4[[#This Row],[r]]</f>
        <v>514.47233023520062</v>
      </c>
      <c r="I3" s="12">
        <f>ROUND(Table4[[#This Row],[ni/r]],0)</f>
        <v>514</v>
      </c>
    </row>
    <row r="4" spans="2:9" x14ac:dyDescent="0.25">
      <c r="B4" s="8">
        <v>2</v>
      </c>
      <c r="C4" s="8">
        <f>COUNTIF(Table3[Nr strat],2)</f>
        <v>1</v>
      </c>
      <c r="D4" s="8">
        <f>SUM(Table3[[#This Row],[Populația rezidentă - municipii, orașe și comune]])</f>
        <v>29774</v>
      </c>
      <c r="E4" s="8">
        <f>Table4[[#This Row],[Suma pop in fct de strat]]/$D$8</f>
        <v>7.3519861523683949E-2</v>
      </c>
      <c r="F4" s="9">
        <v>1</v>
      </c>
      <c r="G4" s="9">
        <f>Table4[[#This Row],[Structura staturi (wi)]]*Parametrii!$C$8</f>
        <v>148.02619959628205</v>
      </c>
      <c r="H4" s="9">
        <f>Table4[[#This Row],[ni]]/Table4[[#This Row],[r]]</f>
        <v>148.02619959628205</v>
      </c>
      <c r="I4" s="9">
        <f>ROUND(Table4[[#This Row],[ni/r]],0)</f>
        <v>148</v>
      </c>
    </row>
    <row r="5" spans="2:9" x14ac:dyDescent="0.25">
      <c r="B5" s="8">
        <v>3</v>
      </c>
      <c r="C5" s="8">
        <f>COUNTIF(Table3[Nr strat],3)</f>
        <v>23</v>
      </c>
      <c r="D5" s="8">
        <f>SUM(DB!C5:C27)</f>
        <v>135645</v>
      </c>
      <c r="E5" s="8">
        <f>Table4[[#This Row],[Suma pop in fct de strat]]/$D$8</f>
        <v>0.3349432933559518</v>
      </c>
      <c r="F5" s="9">
        <v>5</v>
      </c>
      <c r="G5" s="9">
        <f>Table4[[#This Row],[Structura staturi (wi)]]*Parametrii!$C$8</f>
        <v>674.38079681056217</v>
      </c>
      <c r="H5" s="9">
        <f>Table4[[#This Row],[ni]]/Table4[[#This Row],[r]]</f>
        <v>134.87615936211245</v>
      </c>
      <c r="I5" s="9">
        <f>ROUND(Table4[[#This Row],[ni/r]],0)</f>
        <v>135</v>
      </c>
    </row>
    <row r="6" spans="2:9" x14ac:dyDescent="0.25">
      <c r="B6" s="8">
        <v>4</v>
      </c>
      <c r="C6" s="8">
        <f>COUNTIF(Table3[Nr strat],4)</f>
        <v>39</v>
      </c>
      <c r="D6" s="8">
        <f>SUM(DB!C28:C66)</f>
        <v>110283</v>
      </c>
      <c r="E6" s="8">
        <f>Table4[[#This Row],[Suma pop in fct de strat]]/$D$8</f>
        <v>0.27231782388716452</v>
      </c>
      <c r="F6" s="9">
        <v>7</v>
      </c>
      <c r="G6" s="9">
        <f>Table4[[#This Row],[Structura staturi (wi)]]*Parametrii!$C$8</f>
        <v>548.28956035725037</v>
      </c>
      <c r="H6" s="9">
        <f>Table4[[#This Row],[ni]]/Table4[[#This Row],[r]]</f>
        <v>78.327080051035765</v>
      </c>
      <c r="I6" s="9">
        <f>ROUND(Table4[[#This Row],[ni/r]],0)</f>
        <v>78</v>
      </c>
    </row>
    <row r="7" spans="2:9" x14ac:dyDescent="0.25">
      <c r="B7" s="8">
        <v>5</v>
      </c>
      <c r="C7" s="8">
        <f>COUNTIF(Table3[Nr strat],5)</f>
        <v>23</v>
      </c>
      <c r="D7" s="8">
        <f>SUM(DB!C67:C89)</f>
        <v>25796</v>
      </c>
      <c r="E7" s="8">
        <f>Table4[[#This Row],[Suma pop in fct de strat]]/$D$8</f>
        <v>6.3697129974640665E-2</v>
      </c>
      <c r="F7" s="9">
        <v>5</v>
      </c>
      <c r="G7" s="9">
        <f>Table4[[#This Row],[Structura staturi (wi)]]*Parametrii!$C$8</f>
        <v>128.24893681687686</v>
      </c>
      <c r="H7" s="9">
        <f>Table4[[#This Row],[ni]]/Table4[[#This Row],[r]]</f>
        <v>25.649787363375374</v>
      </c>
      <c r="I7" s="9">
        <f>ROUND(Table4[[#This Row],[ni/r]],0)</f>
        <v>26</v>
      </c>
    </row>
    <row r="8" spans="2:9" x14ac:dyDescent="0.25">
      <c r="B8" s="8" t="s">
        <v>90</v>
      </c>
      <c r="C8" s="8">
        <f>SUM(C3:C7)</f>
        <v>87</v>
      </c>
      <c r="D8" s="8">
        <f>SUM(D3:D7)</f>
        <v>404979</v>
      </c>
      <c r="E8" s="8">
        <f>Table4[[#This Row],[Suma pop in fct de strat]]/$D$8</f>
        <v>1</v>
      </c>
      <c r="F8" s="9">
        <f>SUM(F3:F7)</f>
        <v>19</v>
      </c>
      <c r="G8" s="9"/>
      <c r="H8" s="13"/>
      <c r="I8" s="13">
        <f>SUM(I3:I7)</f>
        <v>901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F02D-BB28-4700-9405-FDAAAD258B92}">
  <dimension ref="B2:C8"/>
  <sheetViews>
    <sheetView zoomScale="130" zoomScaleNormal="130" workbookViewId="0">
      <selection activeCell="H29" sqref="H29"/>
    </sheetView>
  </sheetViews>
  <sheetFormatPr defaultRowHeight="15" x14ac:dyDescent="0.25"/>
  <cols>
    <col min="2" max="2" width="15.5703125" customWidth="1"/>
    <col min="6" max="6" width="9" customWidth="1"/>
  </cols>
  <sheetData>
    <row r="2" spans="2:3" x14ac:dyDescent="0.25">
      <c r="B2" s="10" t="s">
        <v>103</v>
      </c>
      <c r="C2" s="10">
        <v>1.96</v>
      </c>
    </row>
    <row r="3" spans="2:3" x14ac:dyDescent="0.25">
      <c r="B3" s="10" t="s">
        <v>104</v>
      </c>
      <c r="C3" s="10">
        <v>0.25</v>
      </c>
    </row>
    <row r="4" spans="2:3" x14ac:dyDescent="0.25">
      <c r="B4" s="10" t="s">
        <v>105</v>
      </c>
      <c r="C4" s="10">
        <v>0.03</v>
      </c>
    </row>
    <row r="5" spans="2:3" x14ac:dyDescent="0.25">
      <c r="B5" s="10" t="s">
        <v>106</v>
      </c>
      <c r="C5" s="10">
        <v>1.34</v>
      </c>
    </row>
    <row r="6" spans="2:3" x14ac:dyDescent="0.25">
      <c r="B6" s="10" t="s">
        <v>107</v>
      </c>
      <c r="C6" s="10">
        <v>1.2</v>
      </c>
    </row>
    <row r="7" spans="2:3" x14ac:dyDescent="0.25">
      <c r="B7" s="11" t="s">
        <v>101</v>
      </c>
      <c r="C7" s="11">
        <f>((C2^2*C3)/(C4^2+((C2^2*C3)/'Nr Intervievati'!D8)))</f>
        <v>1064.3066854749666</v>
      </c>
    </row>
    <row r="8" spans="2:3" x14ac:dyDescent="0.25">
      <c r="B8" s="11" t="s">
        <v>102</v>
      </c>
      <c r="C8" s="11">
        <f>C7*(1/0.85)*C5*C6</f>
        <v>2013.4178238161721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EB157-F668-48E2-A159-676C8AAADA98}">
  <dimension ref="A1"/>
  <sheetViews>
    <sheetView workbookViewId="0">
      <selection activeCell="G54" sqref="G5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D86D-309B-4BFC-80B6-710077947732}">
  <dimension ref="A1:R27"/>
  <sheetViews>
    <sheetView workbookViewId="0">
      <selection activeCell="J23" sqref="J23"/>
    </sheetView>
  </sheetViews>
  <sheetFormatPr defaultRowHeight="24" x14ac:dyDescent="0.45"/>
  <cols>
    <col min="1" max="16384" width="9.140625" style="14"/>
  </cols>
  <sheetData>
    <row r="1" spans="1:18" x14ac:dyDescent="0.45">
      <c r="A1" s="16" t="s">
        <v>127</v>
      </c>
    </row>
    <row r="2" spans="1:18" x14ac:dyDescent="0.45">
      <c r="A2" s="15"/>
    </row>
    <row r="3" spans="1:18" x14ac:dyDescent="0.45">
      <c r="B3" s="15" t="s">
        <v>115</v>
      </c>
    </row>
    <row r="4" spans="1:18" x14ac:dyDescent="0.45">
      <c r="B4" s="15" t="s">
        <v>111</v>
      </c>
    </row>
    <row r="5" spans="1:18" x14ac:dyDescent="0.45">
      <c r="B5" s="15" t="s">
        <v>114</v>
      </c>
    </row>
    <row r="6" spans="1:18" x14ac:dyDescent="0.45">
      <c r="B6" s="15" t="s">
        <v>116</v>
      </c>
    </row>
    <row r="7" spans="1:18" x14ac:dyDescent="0.45">
      <c r="B7" s="15" t="s">
        <v>117</v>
      </c>
    </row>
    <row r="8" spans="1:18" x14ac:dyDescent="0.45">
      <c r="B8" s="15" t="s">
        <v>119</v>
      </c>
    </row>
    <row r="9" spans="1:18" x14ac:dyDescent="0.45">
      <c r="B9" s="15" t="s">
        <v>112</v>
      </c>
    </row>
    <row r="10" spans="1:18" x14ac:dyDescent="0.45">
      <c r="B10" s="15" t="s">
        <v>118</v>
      </c>
    </row>
    <row r="11" spans="1:18" x14ac:dyDescent="0.45">
      <c r="B11" s="15" t="s">
        <v>113</v>
      </c>
    </row>
    <row r="13" spans="1:18" x14ac:dyDescent="0.45">
      <c r="A13" s="16" t="s">
        <v>128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8" x14ac:dyDescent="0.45">
      <c r="B14" s="16" t="s">
        <v>124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spans="1:18" x14ac:dyDescent="0.45">
      <c r="B15" s="16" t="s">
        <v>120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18" x14ac:dyDescent="0.45">
      <c r="B16" s="16" t="s">
        <v>121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spans="1:18" x14ac:dyDescent="0.45">
      <c r="B17" s="16" t="s">
        <v>122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1:18" x14ac:dyDescent="0.45">
      <c r="B18" s="16" t="s">
        <v>125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 spans="1:18" x14ac:dyDescent="0.45">
      <c r="B19" s="16" t="s">
        <v>126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spans="1:18" x14ac:dyDescent="0.45">
      <c r="B20" s="16" t="s">
        <v>123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spans="1:18" x14ac:dyDescent="0.4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spans="1:18" x14ac:dyDescent="0.45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1:18" x14ac:dyDescent="0.4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8" x14ac:dyDescent="0.45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8" x14ac:dyDescent="0.4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8" x14ac:dyDescent="0.45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8" x14ac:dyDescent="0.45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26BC-D1D2-48B1-9658-AC3B10C8696C}">
  <dimension ref="B2:L21"/>
  <sheetViews>
    <sheetView tabSelected="1" zoomScale="85" zoomScaleNormal="85" workbookViewId="0">
      <selection activeCell="H5" sqref="H5"/>
    </sheetView>
  </sheetViews>
  <sheetFormatPr defaultRowHeight="15" x14ac:dyDescent="0.25"/>
  <cols>
    <col min="2" max="2" width="66.140625" customWidth="1"/>
    <col min="3" max="3" width="11.140625" customWidth="1"/>
    <col min="4" max="4" width="16.28515625" customWidth="1"/>
    <col min="6" max="6" width="25.7109375" customWidth="1"/>
    <col min="7" max="7" width="27.42578125" customWidth="1"/>
    <col min="8" max="8" width="20.42578125" customWidth="1"/>
    <col min="9" max="9" width="19.42578125" customWidth="1"/>
    <col min="10" max="10" width="22.140625" customWidth="1"/>
    <col min="11" max="11" width="25.7109375" customWidth="1"/>
    <col min="12" max="12" width="24.42578125" customWidth="1"/>
  </cols>
  <sheetData>
    <row r="2" spans="2:12" ht="53.25" customHeight="1" thickBot="1" x14ac:dyDescent="0.3">
      <c r="B2" s="17" t="s">
        <v>0</v>
      </c>
      <c r="C2" s="18" t="s">
        <v>100</v>
      </c>
      <c r="D2" s="18" t="s">
        <v>129</v>
      </c>
      <c r="E2" s="18" t="s">
        <v>94</v>
      </c>
      <c r="F2" s="20" t="s">
        <v>130</v>
      </c>
      <c r="G2" s="20" t="s">
        <v>131</v>
      </c>
      <c r="H2" s="20" t="s">
        <v>132</v>
      </c>
      <c r="I2" s="20" t="s">
        <v>133</v>
      </c>
      <c r="J2" s="20" t="s">
        <v>134</v>
      </c>
      <c r="K2" s="20" t="s">
        <v>135</v>
      </c>
      <c r="L2" s="21" t="s">
        <v>136</v>
      </c>
    </row>
    <row r="3" spans="2:12" ht="21" x14ac:dyDescent="0.25">
      <c r="B3" s="6" t="s">
        <v>2</v>
      </c>
      <c r="C3" s="6">
        <v>514</v>
      </c>
      <c r="D3" s="6">
        <v>103481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</row>
    <row r="4" spans="2:12" ht="21" x14ac:dyDescent="0.25">
      <c r="B4" s="19" t="s">
        <v>3</v>
      </c>
      <c r="C4" s="6">
        <v>148</v>
      </c>
      <c r="D4" s="7">
        <v>29774</v>
      </c>
      <c r="E4" s="6">
        <v>2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</row>
    <row r="5" spans="2:12" ht="21" x14ac:dyDescent="0.25">
      <c r="B5" s="6" t="s">
        <v>80</v>
      </c>
      <c r="C5" s="6">
        <v>135</v>
      </c>
      <c r="D5" s="6">
        <v>9726</v>
      </c>
      <c r="E5" s="6">
        <v>3</v>
      </c>
      <c r="F5" s="22">
        <v>0.22</v>
      </c>
      <c r="G5" s="22">
        <v>4.5454545454545459</v>
      </c>
      <c r="H5" s="6">
        <v>23</v>
      </c>
      <c r="I5" s="6">
        <v>5</v>
      </c>
      <c r="J5" s="22">
        <v>0.22</v>
      </c>
      <c r="K5" s="22">
        <v>4.5454545454545459</v>
      </c>
      <c r="L5" s="22">
        <v>4.5454545454545459</v>
      </c>
    </row>
    <row r="6" spans="2:12" ht="21" x14ac:dyDescent="0.25">
      <c r="B6" s="6" t="s">
        <v>46</v>
      </c>
      <c r="C6" s="6">
        <v>135</v>
      </c>
      <c r="D6" s="6">
        <v>9653</v>
      </c>
      <c r="E6" s="6">
        <v>3</v>
      </c>
      <c r="F6" s="22">
        <v>0.22</v>
      </c>
      <c r="G6" s="22">
        <v>4.5454545454545459</v>
      </c>
      <c r="H6" s="6">
        <v>23</v>
      </c>
      <c r="I6" s="6">
        <v>5</v>
      </c>
      <c r="J6" s="22">
        <v>0.22</v>
      </c>
      <c r="K6" s="22">
        <v>4.5454545454545459</v>
      </c>
      <c r="L6" s="22">
        <v>4.5454545454545459</v>
      </c>
    </row>
    <row r="7" spans="2:12" ht="21" x14ac:dyDescent="0.25">
      <c r="B7" s="23" t="s">
        <v>4</v>
      </c>
      <c r="C7" s="23">
        <v>135</v>
      </c>
      <c r="D7" s="23">
        <v>9464</v>
      </c>
      <c r="E7" s="23">
        <v>3</v>
      </c>
      <c r="F7" s="24">
        <v>0.22</v>
      </c>
      <c r="G7" s="24">
        <v>4.5454545454545459</v>
      </c>
      <c r="H7" s="23">
        <v>23</v>
      </c>
      <c r="I7" s="23">
        <v>5</v>
      </c>
      <c r="J7" s="24">
        <v>0.22</v>
      </c>
      <c r="K7" s="24">
        <v>4.5454545454545459</v>
      </c>
      <c r="L7" s="24">
        <v>4.5454545454545459</v>
      </c>
    </row>
    <row r="8" spans="2:12" ht="21" x14ac:dyDescent="0.25">
      <c r="B8" s="6" t="s">
        <v>84</v>
      </c>
      <c r="C8" s="6">
        <v>135</v>
      </c>
      <c r="D8" s="6">
        <v>9008</v>
      </c>
      <c r="E8" s="6">
        <v>3</v>
      </c>
      <c r="F8" s="22">
        <v>0.22</v>
      </c>
      <c r="G8" s="22">
        <v>4.5454545454545459</v>
      </c>
      <c r="H8" s="6">
        <v>23</v>
      </c>
      <c r="I8" s="6">
        <v>5</v>
      </c>
      <c r="J8" s="22">
        <v>0.22</v>
      </c>
      <c r="K8" s="22">
        <v>4.5454545454545459</v>
      </c>
      <c r="L8" s="22">
        <v>4.5454545454545459</v>
      </c>
    </row>
    <row r="9" spans="2:12" ht="21" x14ac:dyDescent="0.25">
      <c r="B9" s="19" t="s">
        <v>11</v>
      </c>
      <c r="C9" s="6">
        <v>135</v>
      </c>
      <c r="D9" s="7">
        <v>7741</v>
      </c>
      <c r="E9" s="6">
        <v>3</v>
      </c>
      <c r="F9" s="22">
        <v>0.22</v>
      </c>
      <c r="G9" s="22">
        <v>4.5454545454545459</v>
      </c>
      <c r="H9" s="6">
        <v>23</v>
      </c>
      <c r="I9" s="6">
        <v>5</v>
      </c>
      <c r="J9" s="22">
        <v>0.22</v>
      </c>
      <c r="K9" s="22">
        <v>4.5454545454545459</v>
      </c>
      <c r="L9" s="22">
        <v>4.5454545454545459</v>
      </c>
    </row>
    <row r="10" spans="2:12" ht="21" x14ac:dyDescent="0.25">
      <c r="B10" s="25" t="s">
        <v>54</v>
      </c>
      <c r="C10" s="25">
        <v>78</v>
      </c>
      <c r="D10" s="25">
        <v>3451</v>
      </c>
      <c r="E10" s="25">
        <v>4</v>
      </c>
      <c r="F10" s="25">
        <v>0.18</v>
      </c>
      <c r="G10" s="24">
        <v>5.5555555555555554</v>
      </c>
      <c r="H10" s="25">
        <v>39</v>
      </c>
      <c r="I10" s="25">
        <v>7</v>
      </c>
      <c r="J10" s="25">
        <v>0.18</v>
      </c>
      <c r="K10" s="24">
        <v>5.5555555555555554</v>
      </c>
      <c r="L10" s="24">
        <v>5.5555555555555554</v>
      </c>
    </row>
    <row r="11" spans="2:12" ht="21" x14ac:dyDescent="0.25">
      <c r="B11" s="6" t="s">
        <v>68</v>
      </c>
      <c r="C11" s="6">
        <v>78</v>
      </c>
      <c r="D11" s="6">
        <v>3391</v>
      </c>
      <c r="E11" s="6">
        <v>4</v>
      </c>
      <c r="F11" s="22">
        <v>0.18</v>
      </c>
      <c r="G11" s="22">
        <v>5.5555555555555554</v>
      </c>
      <c r="H11" s="6">
        <v>39</v>
      </c>
      <c r="I11" s="6">
        <v>7</v>
      </c>
      <c r="J11" s="22">
        <v>0.18</v>
      </c>
      <c r="K11" s="22">
        <v>5.5555555555555554</v>
      </c>
      <c r="L11" s="22">
        <v>5.5555555555555554</v>
      </c>
    </row>
    <row r="12" spans="2:12" ht="21" x14ac:dyDescent="0.25">
      <c r="B12" s="6" t="s">
        <v>61</v>
      </c>
      <c r="C12" s="6">
        <v>78</v>
      </c>
      <c r="D12" s="7">
        <v>3371</v>
      </c>
      <c r="E12" s="6">
        <v>4</v>
      </c>
      <c r="F12" s="22">
        <v>0.18</v>
      </c>
      <c r="G12" s="22">
        <v>5.5555555555555554</v>
      </c>
      <c r="H12" s="6">
        <v>39</v>
      </c>
      <c r="I12" s="6">
        <v>7</v>
      </c>
      <c r="J12" s="22">
        <v>0.18</v>
      </c>
      <c r="K12" s="22">
        <v>5.5555555555555554</v>
      </c>
      <c r="L12" s="22">
        <v>5.5555555555555554</v>
      </c>
    </row>
    <row r="13" spans="2:12" ht="21" x14ac:dyDescent="0.25">
      <c r="B13" s="6" t="s">
        <v>38</v>
      </c>
      <c r="C13" s="6">
        <v>78</v>
      </c>
      <c r="D13" s="6">
        <v>3364</v>
      </c>
      <c r="E13" s="6">
        <v>4</v>
      </c>
      <c r="F13" s="22">
        <v>0.18</v>
      </c>
      <c r="G13" s="22">
        <v>5.5555555555555554</v>
      </c>
      <c r="H13" s="6">
        <v>39</v>
      </c>
      <c r="I13" s="6">
        <v>7</v>
      </c>
      <c r="J13" s="22">
        <v>0.18</v>
      </c>
      <c r="K13" s="22">
        <v>5.5555555555555554</v>
      </c>
      <c r="L13" s="22">
        <v>5.5555555555555554</v>
      </c>
    </row>
    <row r="14" spans="2:12" ht="21" x14ac:dyDescent="0.25">
      <c r="B14" s="6" t="s">
        <v>59</v>
      </c>
      <c r="C14" s="6">
        <v>78</v>
      </c>
      <c r="D14" s="7">
        <v>3266</v>
      </c>
      <c r="E14" s="6">
        <v>4</v>
      </c>
      <c r="F14" s="22">
        <v>0.18</v>
      </c>
      <c r="G14" s="22">
        <v>5.5555555555555554</v>
      </c>
      <c r="H14" s="6">
        <v>39</v>
      </c>
      <c r="I14" s="6">
        <v>7</v>
      </c>
      <c r="J14" s="22">
        <v>0.18</v>
      </c>
      <c r="K14" s="22">
        <v>5.5555555555555554</v>
      </c>
      <c r="L14" s="22">
        <v>5.5555555555555554</v>
      </c>
    </row>
    <row r="15" spans="2:12" ht="21" x14ac:dyDescent="0.25">
      <c r="B15" s="6" t="s">
        <v>86</v>
      </c>
      <c r="C15" s="6">
        <v>78</v>
      </c>
      <c r="D15" s="6">
        <v>3242</v>
      </c>
      <c r="E15" s="6">
        <v>4</v>
      </c>
      <c r="F15" s="22">
        <v>0.18</v>
      </c>
      <c r="G15" s="22">
        <v>5.5555555555555554</v>
      </c>
      <c r="H15" s="6">
        <v>39</v>
      </c>
      <c r="I15" s="6">
        <v>7</v>
      </c>
      <c r="J15" s="22">
        <v>0.18</v>
      </c>
      <c r="K15" s="22">
        <v>5.5555555555555554</v>
      </c>
      <c r="L15" s="22">
        <v>5.5555555555555554</v>
      </c>
    </row>
    <row r="16" spans="2:12" ht="21" x14ac:dyDescent="0.25">
      <c r="B16" s="19" t="s">
        <v>65</v>
      </c>
      <c r="C16" s="6">
        <v>78</v>
      </c>
      <c r="D16" s="7">
        <v>3173</v>
      </c>
      <c r="E16" s="6">
        <v>4</v>
      </c>
      <c r="F16" s="22">
        <v>0.18</v>
      </c>
      <c r="G16" s="22">
        <v>5.5555555555555554</v>
      </c>
      <c r="H16" s="6">
        <v>39</v>
      </c>
      <c r="I16" s="6">
        <v>7</v>
      </c>
      <c r="J16" s="22">
        <v>0.18</v>
      </c>
      <c r="K16" s="22">
        <v>5.5555555555555554</v>
      </c>
      <c r="L16" s="22">
        <v>5.5555555555555554</v>
      </c>
    </row>
    <row r="17" spans="2:12" ht="21" x14ac:dyDescent="0.25">
      <c r="B17" s="6" t="s">
        <v>13</v>
      </c>
      <c r="C17" s="6">
        <v>26</v>
      </c>
      <c r="D17" s="7">
        <v>905</v>
      </c>
      <c r="E17" s="6">
        <v>5</v>
      </c>
      <c r="F17" s="22">
        <v>0.21739130434782608</v>
      </c>
      <c r="G17" s="22">
        <v>4.6000000000000005</v>
      </c>
      <c r="H17" s="6">
        <v>23</v>
      </c>
      <c r="I17" s="6">
        <v>5</v>
      </c>
      <c r="J17" s="22">
        <v>0.21739130434782608</v>
      </c>
      <c r="K17" s="22">
        <v>4.6000000000000005</v>
      </c>
      <c r="L17" s="22">
        <v>4.6000000000000005</v>
      </c>
    </row>
    <row r="18" spans="2:12" ht="21" x14ac:dyDescent="0.25">
      <c r="B18" s="6" t="s">
        <v>15</v>
      </c>
      <c r="C18" s="6">
        <v>26</v>
      </c>
      <c r="D18" s="7">
        <v>814</v>
      </c>
      <c r="E18" s="6">
        <v>5</v>
      </c>
      <c r="F18" s="22">
        <v>0.21739130434782608</v>
      </c>
      <c r="G18" s="22">
        <v>4.6000000000000005</v>
      </c>
      <c r="H18" s="6">
        <v>23</v>
      </c>
      <c r="I18" s="6">
        <v>5</v>
      </c>
      <c r="J18" s="22">
        <v>0.21739130434782608</v>
      </c>
      <c r="K18" s="22">
        <v>4.6000000000000005</v>
      </c>
      <c r="L18" s="22">
        <v>4.6000000000000005</v>
      </c>
    </row>
    <row r="19" spans="2:12" ht="21" x14ac:dyDescent="0.25">
      <c r="B19" s="6" t="s">
        <v>30</v>
      </c>
      <c r="C19" s="6">
        <v>26</v>
      </c>
      <c r="D19" s="6">
        <v>809</v>
      </c>
      <c r="E19" s="6">
        <v>5</v>
      </c>
      <c r="F19" s="22">
        <v>0.21739130434782608</v>
      </c>
      <c r="G19" s="22">
        <v>4.6000000000000005</v>
      </c>
      <c r="H19" s="6">
        <v>23</v>
      </c>
      <c r="I19" s="6">
        <v>5</v>
      </c>
      <c r="J19" s="22">
        <v>0.21739130434782608</v>
      </c>
      <c r="K19" s="22">
        <v>4.6000000000000005</v>
      </c>
      <c r="L19" s="22">
        <v>4.6000000000000005</v>
      </c>
    </row>
    <row r="20" spans="2:12" ht="21" x14ac:dyDescent="0.25">
      <c r="B20" s="6" t="s">
        <v>51</v>
      </c>
      <c r="C20" s="6">
        <v>26</v>
      </c>
      <c r="D20" s="7">
        <v>727</v>
      </c>
      <c r="E20" s="6">
        <v>5</v>
      </c>
      <c r="F20" s="22">
        <v>0.21739130434782608</v>
      </c>
      <c r="G20" s="22">
        <v>4.6000000000000005</v>
      </c>
      <c r="H20" s="6">
        <v>23</v>
      </c>
      <c r="I20" s="6">
        <v>5</v>
      </c>
      <c r="J20" s="22">
        <v>0.21739130434782608</v>
      </c>
      <c r="K20" s="22">
        <v>4.6000000000000005</v>
      </c>
      <c r="L20" s="22">
        <v>4.6000000000000005</v>
      </c>
    </row>
    <row r="21" spans="2:12" ht="21" x14ac:dyDescent="0.25">
      <c r="B21" s="19" t="s">
        <v>53</v>
      </c>
      <c r="C21" s="6">
        <v>26</v>
      </c>
      <c r="D21" s="7">
        <v>651</v>
      </c>
      <c r="E21" s="6">
        <v>5</v>
      </c>
      <c r="F21" s="22">
        <v>0.21739130434782608</v>
      </c>
      <c r="G21" s="22">
        <v>4.6000000000000005</v>
      </c>
      <c r="H21" s="6">
        <v>23</v>
      </c>
      <c r="I21" s="6">
        <v>5</v>
      </c>
      <c r="J21" s="22">
        <v>0.21739130434782608</v>
      </c>
      <c r="K21" s="22">
        <v>4.6000000000000005</v>
      </c>
      <c r="L21" s="22">
        <v>4.6000000000000005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1D8CB-8805-4705-9F10-727024ADE535}">
  <dimension ref="B2:F8"/>
  <sheetViews>
    <sheetView workbookViewId="0">
      <selection activeCell="C7" sqref="C7:F8"/>
    </sheetView>
  </sheetViews>
  <sheetFormatPr defaultRowHeight="15" x14ac:dyDescent="0.25"/>
  <cols>
    <col min="2" max="2" width="27.85546875" customWidth="1"/>
    <col min="3" max="3" width="26.28515625" customWidth="1"/>
    <col min="4" max="4" width="26.140625" customWidth="1"/>
    <col min="5" max="5" width="34.7109375" customWidth="1"/>
    <col min="6" max="6" width="66.7109375" customWidth="1"/>
  </cols>
  <sheetData>
    <row r="2" spans="2:6" ht="67.5" x14ac:dyDescent="0.25">
      <c r="B2" s="26" t="s">
        <v>148</v>
      </c>
      <c r="C2" s="26" t="s">
        <v>149</v>
      </c>
      <c r="D2" s="26" t="s">
        <v>150</v>
      </c>
      <c r="E2" s="26" t="s">
        <v>151</v>
      </c>
      <c r="F2" s="26" t="s">
        <v>138</v>
      </c>
    </row>
    <row r="3" spans="2:6" ht="42" x14ac:dyDescent="0.25">
      <c r="B3" s="27">
        <v>146</v>
      </c>
      <c r="C3" s="27" t="s">
        <v>11</v>
      </c>
      <c r="D3" s="27" t="s">
        <v>141</v>
      </c>
      <c r="E3" s="27" t="s">
        <v>142</v>
      </c>
      <c r="F3" s="27" t="s">
        <v>138</v>
      </c>
    </row>
    <row r="4" spans="2:6" ht="63" x14ac:dyDescent="0.25">
      <c r="B4" s="29">
        <v>146</v>
      </c>
      <c r="C4" s="28" t="s">
        <v>143</v>
      </c>
      <c r="D4" s="29"/>
      <c r="E4" s="29"/>
      <c r="F4" s="29" t="s">
        <v>144</v>
      </c>
    </row>
    <row r="5" spans="2:6" ht="84" x14ac:dyDescent="0.25">
      <c r="B5" s="29">
        <v>102</v>
      </c>
      <c r="C5" s="29" t="s">
        <v>137</v>
      </c>
      <c r="D5" s="29" t="s">
        <v>145</v>
      </c>
      <c r="E5" s="29" t="s">
        <v>146</v>
      </c>
      <c r="F5" s="29" t="s">
        <v>138</v>
      </c>
    </row>
    <row r="6" spans="2:6" ht="21" x14ac:dyDescent="0.25">
      <c r="B6" s="29">
        <v>102</v>
      </c>
      <c r="C6" s="29" t="s">
        <v>139</v>
      </c>
      <c r="D6" s="29"/>
      <c r="E6" s="29" t="s">
        <v>147</v>
      </c>
      <c r="F6" s="29" t="s">
        <v>140</v>
      </c>
    </row>
    <row r="7" spans="2:6" ht="42" x14ac:dyDescent="0.25">
      <c r="B7" s="29">
        <v>103</v>
      </c>
      <c r="C7" s="29" t="s">
        <v>137</v>
      </c>
      <c r="D7" s="29" t="s">
        <v>152</v>
      </c>
      <c r="E7" s="29" t="s">
        <v>153</v>
      </c>
      <c r="F7" s="29" t="s">
        <v>138</v>
      </c>
    </row>
    <row r="8" spans="2:6" ht="21" x14ac:dyDescent="0.25">
      <c r="B8" s="29">
        <v>103</v>
      </c>
      <c r="C8" s="29" t="s">
        <v>139</v>
      </c>
      <c r="D8" s="29"/>
      <c r="E8" s="29" t="s">
        <v>154</v>
      </c>
      <c r="F8" s="29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DB</vt:lpstr>
      <vt:lpstr>Nr Intervievati</vt:lpstr>
      <vt:lpstr>Parametrii</vt:lpstr>
      <vt:lpstr>Formule</vt:lpstr>
      <vt:lpstr>SPSS &amp; Sectii</vt:lpstr>
      <vt:lpstr>Esantion</vt:lpstr>
      <vt:lpstr>Sectie Votare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 Teodor</dc:creator>
  <cp:lastModifiedBy>Constantin Teodor</cp:lastModifiedBy>
  <dcterms:created xsi:type="dcterms:W3CDTF">2015-06-05T18:17:20Z</dcterms:created>
  <dcterms:modified xsi:type="dcterms:W3CDTF">2026-05-28T12:33:49Z</dcterms:modified>
</cp:coreProperties>
</file>